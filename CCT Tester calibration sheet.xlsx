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<sst xmlns="http://schemas.openxmlformats.org/spreadsheetml/2006/main" count="30" uniqueCount="12">
  <si>
    <t>Sensor 1</t>
  </si>
  <si>
    <t>Accurate value</t>
  </si>
  <si>
    <t>Sensor value (from the gravity sensor)</t>
  </si>
  <si>
    <t>Linear corralation factor</t>
  </si>
  <si>
    <t>Sensor 2</t>
  </si>
  <si>
    <t>Sensor 3</t>
  </si>
  <si>
    <t>Range 2(around 2200)</t>
  </si>
  <si>
    <t>Range 3 (around 2700)</t>
  </si>
  <si>
    <t>range 4 (around 3000)</t>
  </si>
  <si>
    <t>Range 5 (around 3500)</t>
  </si>
  <si>
    <t>Range 6 (around 4000)</t>
  </si>
  <si>
    <t xml:space="preserve">Range 8 (around 5600)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</si>
</sst>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3" max="3" width="29.25"/>
    <col customWidth="1" min="4" max="4" width="18.5"/>
    <col customWidth="1" min="6" max="6" width="18.75"/>
    <col customWidth="1" min="8" max="8" width="29.25"/>
    <col customWidth="1" min="9" max="9" width="18.5"/>
    <col customWidth="1" min="12" max="12" width="18.75"/>
    <col customWidth="1" min="14" max="14" width="29.25"/>
    <col customWidth="1" min="15" max="1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</v>
      </c>
      <c r="H1" s="1" t="s">
        <v>2</v>
      </c>
      <c r="I1" s="1" t="s">
        <v>3</v>
      </c>
      <c r="K1" s="1" t="s">
        <v>5</v>
      </c>
      <c r="L1" s="2"/>
      <c r="M1" s="2" t="s">
        <v>1</v>
      </c>
      <c r="N1" s="2" t="s">
        <v>2</v>
      </c>
      <c r="O1" s="2" t="s">
        <v>3</v>
      </c>
    </row>
    <row r="2">
      <c r="A2" s="1" t="s">
        <v>6</v>
      </c>
      <c r="F2" s="1" t="s">
        <v>6</v>
      </c>
      <c r="L2" s="2" t="s">
        <v>6</v>
      </c>
      <c r="M2" s="2"/>
      <c r="N2" s="2"/>
      <c r="O2" s="2"/>
    </row>
    <row r="3">
      <c r="B3" s="1">
        <v>2132.0</v>
      </c>
      <c r="C3" s="1">
        <v>2557.0</v>
      </c>
      <c r="D3" s="3">
        <f t="shared" ref="D3:D4" si="1">B3/C3</f>
        <v>0.8337895972</v>
      </c>
      <c r="G3" s="1">
        <v>2132.0</v>
      </c>
      <c r="H3" s="1">
        <v>2547.0</v>
      </c>
      <c r="I3" s="3">
        <f t="shared" ref="I3:I4" si="2">G3/H3</f>
        <v>0.8370632116</v>
      </c>
      <c r="L3" s="2"/>
      <c r="M3" s="4">
        <v>2132.0</v>
      </c>
      <c r="N3" s="4">
        <v>2547.0</v>
      </c>
      <c r="O3" s="5">
        <f t="shared" ref="O3:O4" si="3">M3/N3</f>
        <v>0.8370632116</v>
      </c>
    </row>
    <row r="4">
      <c r="B4" s="1">
        <v>2158.0</v>
      </c>
      <c r="C4" s="1">
        <v>2619.0</v>
      </c>
      <c r="D4" s="3">
        <f t="shared" si="1"/>
        <v>0.8239786178</v>
      </c>
      <c r="G4" s="1">
        <v>2158.0</v>
      </c>
      <c r="H4" s="1">
        <v>2614.0</v>
      </c>
      <c r="I4" s="3">
        <f t="shared" si="2"/>
        <v>0.8255547054</v>
      </c>
      <c r="L4" s="2"/>
      <c r="M4" s="1">
        <v>2158.0</v>
      </c>
      <c r="N4" s="4">
        <v>2605.0</v>
      </c>
      <c r="O4" s="5">
        <f t="shared" si="3"/>
        <v>0.8284069098</v>
      </c>
    </row>
    <row r="5">
      <c r="A5" s="1" t="s">
        <v>7</v>
      </c>
      <c r="F5" s="1" t="s">
        <v>7</v>
      </c>
      <c r="L5" s="2" t="s">
        <v>7</v>
      </c>
      <c r="M5" s="2"/>
      <c r="N5" s="2"/>
      <c r="O5" s="2"/>
    </row>
    <row r="6">
      <c r="B6" s="1">
        <v>2719.0</v>
      </c>
      <c r="C6" s="1">
        <v>2930.0</v>
      </c>
      <c r="D6" s="3">
        <f>B6/C6</f>
        <v>0.9279863481</v>
      </c>
      <c r="G6" s="1">
        <v>2719.0</v>
      </c>
      <c r="H6" s="1">
        <v>2914.0</v>
      </c>
      <c r="I6" s="3">
        <f>G6/H6</f>
        <v>0.9330816747</v>
      </c>
      <c r="L6" s="2"/>
      <c r="M6" s="1">
        <v>2719.0</v>
      </c>
      <c r="N6" s="4">
        <v>2919.0</v>
      </c>
      <c r="O6" s="5">
        <f>M6/N6</f>
        <v>0.9314833847</v>
      </c>
    </row>
    <row r="7">
      <c r="A7" s="1" t="s">
        <v>8</v>
      </c>
      <c r="F7" s="1" t="s">
        <v>8</v>
      </c>
      <c r="L7" s="2" t="s">
        <v>8</v>
      </c>
      <c r="M7" s="2"/>
      <c r="N7" s="2"/>
      <c r="O7" s="2"/>
    </row>
    <row r="8">
      <c r="B8" s="1">
        <v>3073.0</v>
      </c>
      <c r="C8" s="1">
        <v>3181.0</v>
      </c>
      <c r="D8" s="3">
        <f>B8/C8</f>
        <v>0.9660484124</v>
      </c>
      <c r="G8" s="1">
        <v>3073.0</v>
      </c>
      <c r="H8" s="1">
        <v>3176.0</v>
      </c>
      <c r="I8" s="3">
        <f>G8/H8</f>
        <v>0.9675692695</v>
      </c>
      <c r="L8" s="2"/>
      <c r="M8" s="1">
        <v>3073.0</v>
      </c>
      <c r="N8" s="4">
        <v>3193.0</v>
      </c>
      <c r="O8" s="5">
        <f>M8/N8</f>
        <v>0.9624177889</v>
      </c>
    </row>
    <row r="9">
      <c r="A9" s="1" t="s">
        <v>9</v>
      </c>
      <c r="F9" s="1" t="s">
        <v>9</v>
      </c>
      <c r="L9" s="2" t="s">
        <v>9</v>
      </c>
      <c r="M9" s="2"/>
      <c r="N9" s="2"/>
      <c r="O9" s="2"/>
    </row>
    <row r="10">
      <c r="B10" s="1">
        <v>3384.0</v>
      </c>
      <c r="C10" s="1">
        <v>3384.0</v>
      </c>
      <c r="D10" s="3">
        <f>B10/C10</f>
        <v>1</v>
      </c>
      <c r="G10" s="1">
        <v>3384.0</v>
      </c>
      <c r="H10" s="1">
        <v>3367.0</v>
      </c>
      <c r="I10" s="3">
        <f>G10/H10</f>
        <v>1.005049005</v>
      </c>
      <c r="L10" s="2"/>
      <c r="M10" s="1">
        <v>3384.0</v>
      </c>
      <c r="N10" s="4">
        <v>3388.0</v>
      </c>
      <c r="O10" s="5">
        <f>M10/N10</f>
        <v>0.9988193625</v>
      </c>
    </row>
    <row r="11">
      <c r="A11" s="1" t="s">
        <v>10</v>
      </c>
      <c r="F11" s="1" t="s">
        <v>10</v>
      </c>
      <c r="L11" s="2" t="s">
        <v>10</v>
      </c>
      <c r="M11" s="2"/>
      <c r="N11" s="2"/>
      <c r="O11" s="2"/>
    </row>
    <row r="12">
      <c r="B12" s="1">
        <v>3875.0</v>
      </c>
      <c r="C12" s="1">
        <v>3649.0</v>
      </c>
      <c r="D12" s="3">
        <f>B12/C12</f>
        <v>1.061934777</v>
      </c>
      <c r="G12" s="1">
        <v>3875.0</v>
      </c>
      <c r="H12" s="1">
        <v>3628.0</v>
      </c>
      <c r="I12" s="3">
        <f>G12/H12</f>
        <v>1.068081588</v>
      </c>
      <c r="L12" s="2"/>
      <c r="M12" s="1">
        <v>3875.0</v>
      </c>
      <c r="N12" s="4">
        <v>3658.0</v>
      </c>
      <c r="O12" s="5">
        <f>M12/N12</f>
        <v>1.059322034</v>
      </c>
    </row>
    <row r="13">
      <c r="A13" s="1" t="s">
        <v>11</v>
      </c>
      <c r="F13" s="1" t="s">
        <v>11</v>
      </c>
      <c r="L13" s="2" t="s">
        <v>11</v>
      </c>
      <c r="M13" s="2"/>
      <c r="N13" s="2"/>
      <c r="O13" s="2"/>
    </row>
    <row r="14">
      <c r="A14" s="1"/>
      <c r="B14" s="1">
        <v>5345.0</v>
      </c>
      <c r="C14" s="1">
        <v>4986.0</v>
      </c>
      <c r="D14" s="3">
        <f>B14/C14</f>
        <v>1.072001604</v>
      </c>
      <c r="G14" s="1">
        <v>5345.0</v>
      </c>
      <c r="H14" s="1">
        <v>5010.0</v>
      </c>
      <c r="I14" s="3">
        <f>G14/H14</f>
        <v>1.066866267</v>
      </c>
      <c r="L14" s="2"/>
      <c r="M14" s="1">
        <v>5345.0</v>
      </c>
      <c r="N14" s="4">
        <v>4954.0</v>
      </c>
      <c r="O14" s="5">
        <f>M14/N14</f>
        <v>1.07892612</v>
      </c>
    </row>
  </sheetData>
  <drawing r:id="rId1"/>
</worksheet>
</file>